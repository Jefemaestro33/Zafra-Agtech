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ción Completa" sheetId="1" state="visible" r:id="rId3"/>
    <sheet name="Opción Económica" sheetId="2" state="visible" r:id="rId4"/>
    <sheet name="Comparación + Predios Nuev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<sst xmlns="http://schemas.openxmlformats.org/spreadsheetml/2006/main" count="297" uniqueCount="199">
  <si>
    <t xml:space="preserve">PRESUPUESTO PILOTO NEXTIPAC — OPCIÓN COMPLETA</t>
  </si>
  <si>
    <t xml:space="preserve">18 meses de entrenamiento intensivo del modelo | Secuenciación bimensual + qPCR quincenal</t>
  </si>
  <si>
    <t xml:space="preserve">SUPUESTOS DEL PILOTO</t>
  </si>
  <si>
    <t xml:space="preserve">Duración del piloto (meses)</t>
  </si>
  <si>
    <t xml:space="preserve">Número de nodos (Opción B)</t>
  </si>
  <si>
    <t xml:space="preserve">Hectáreas piloto</t>
  </si>
  <si>
    <t xml:space="preserve">Tipo de cambio USD/MXN</t>
  </si>
  <si>
    <t xml:space="preserve">Frecuencia qPCR</t>
  </si>
  <si>
    <t xml:space="preserve">Quincenal (36 rondas en 18 meses)</t>
  </si>
  <si>
    <t xml:space="preserve">Frecuencia secuenciación 16S+ITS</t>
  </si>
  <si>
    <t xml:space="preserve">Bimensual (9 corridas en 18 meses)</t>
  </si>
  <si>
    <t xml:space="preserve">Muestras por corrida secuenciación</t>
  </si>
  <si>
    <t xml:space="preserve">8 (pools por nodo, 3 profundidades combinadas)</t>
  </si>
  <si>
    <t xml:space="preserve">1. HARDWARE (inversión única)</t>
  </si>
  <si>
    <t xml:space="preserve">Componente</t>
  </si>
  <si>
    <t xml:space="preserve">Detalle</t>
  </si>
  <si>
    <t xml:space="preserve">Cantidad</t>
  </si>
  <si>
    <t xml:space="preserve">Precio unit. MXN</t>
  </si>
  <si>
    <t xml:space="preserve">Subtotal MXN</t>
  </si>
  <si>
    <t xml:space="preserve">Subtotal USD</t>
  </si>
  <si>
    <t xml:space="preserve">TTGO T-Beam (ESP32+LoRa+GPS)</t>
  </si>
  <si>
    <t xml:space="preserve">Microcontrolador de cada nodo</t>
  </si>
  <si>
    <t xml:space="preserve">Sensores capacitivos de humedad</t>
  </si>
  <si>
    <t xml:space="preserve">3 por nodo (10, 20, 30 cm)</t>
  </si>
  <si>
    <t xml:space="preserve">DS18B20 (temperatura)</t>
  </si>
  <si>
    <t xml:space="preserve">1 por nodo a 20 cm</t>
  </si>
  <si>
    <t xml:space="preserve">Sensor de conductividad eléctrica</t>
  </si>
  <si>
    <t xml:space="preserve">1 por nodo a 30 cm</t>
  </si>
  <si>
    <t xml:space="preserve">Tubo PVC + conectores IP68</t>
  </si>
  <si>
    <t xml:space="preserve">Encapsulado por nodo</t>
  </si>
  <si>
    <t xml:space="preserve">Baterías 18650 + panel solar</t>
  </si>
  <si>
    <t xml:space="preserve">Alimentación por nodo</t>
  </si>
  <si>
    <t xml:space="preserve">Gateway RAK con 4G/LTE</t>
  </si>
  <si>
    <t xml:space="preserve">RAK7268V2 o similar con SIM</t>
  </si>
  <si>
    <t xml:space="preserve">Cables, conectores, misceláneos</t>
  </si>
  <si>
    <t xml:space="preserve">Protección, cableado, herramientas</t>
  </si>
  <si>
    <t xml:space="preserve">SUBTOTAL HARDWARE</t>
  </si>
  <si>
    <t xml:space="preserve">2. INFRAESTRUCTURA (18 meses)</t>
  </si>
  <si>
    <t xml:space="preserve">Meses</t>
  </si>
  <si>
    <t xml:space="preserve">Costo/mes MXN</t>
  </si>
  <si>
    <t xml:space="preserve">VPS en la nube (DigitalOcean/Hetzner)</t>
  </si>
  <si>
    <t xml:space="preserve">1 vCPU, 1GB RAM, 25GB SSD</t>
  </si>
  <si>
    <t xml:space="preserve">Plan de datos celular (SIM M2M)</t>
  </si>
  <si>
    <t xml:space="preserve">500MB/mes para gateway 4G</t>
  </si>
  <si>
    <t xml:space="preserve">Dominio + SSL</t>
  </si>
  <si>
    <t xml:space="preserve">dashboard.tuempresa.com</t>
  </si>
  <si>
    <t xml:space="preserve">API LLM (Claude/Gemini)</t>
  </si>
  <si>
    <t xml:space="preserve">~2 consultas/día, ~60/mes</t>
  </si>
  <si>
    <t xml:space="preserve">SUBTOTAL INFRAESTRUCTURA</t>
  </si>
  <si>
    <t xml:space="preserve">3. LABORATORIO — ANÁLISIS MOLECULAR (18 meses)</t>
  </si>
  <si>
    <t xml:space="preserve">Análisis</t>
  </si>
  <si>
    <t xml:space="preserve">Muestras totales</t>
  </si>
  <si>
    <t xml:space="preserve">Costo/muestra MXN</t>
  </si>
  <si>
    <t xml:space="preserve">Extracción ADN (PowerSoil)</t>
  </si>
  <si>
    <t xml:space="preserve">0.25g suelo → ADN purificado</t>
  </si>
  <si>
    <t xml:space="preserve">qPCR — 16S universal</t>
  </si>
  <si>
    <t xml:space="preserve">Abundancia bacteriana total</t>
  </si>
  <si>
    <t xml:space="preserve">qPCR — AMF (micorrizas)</t>
  </si>
  <si>
    <t xml:space="preserve">Primers AM1/NS31</t>
  </si>
  <si>
    <t xml:space="preserve">qPCR — Trichoderma spp.</t>
  </si>
  <si>
    <t xml:space="preserve">Primers ITS específicos</t>
  </si>
  <si>
    <t xml:space="preserve">qPCR — P. cinnamomi</t>
  </si>
  <si>
    <t xml:space="preserve">Primers ITS/Ypt1 oomiceto</t>
  </si>
  <si>
    <t xml:space="preserve">Secuenciación 16S (Illumina)</t>
  </si>
  <si>
    <t xml:space="preserve">Región V3-V4, tarifa académica</t>
  </si>
  <si>
    <t xml:space="preserve">Secuenciación ITS (Illumina)</t>
  </si>
  <si>
    <t xml:space="preserve">ITS1/ITS2, misma corrida</t>
  </si>
  <si>
    <t xml:space="preserve">Preparación de librerías NGS</t>
  </si>
  <si>
    <t xml:space="preserve">Adaptadores, índices, PCR, beads</t>
  </si>
  <si>
    <t xml:space="preserve">SUBTOTAL ANÁLISIS MOLECULAR</t>
  </si>
  <si>
    <t xml:space="preserve">4. LABORATORIO — ANÁLISIS FISICOQUÍMICO Y COMPLEMENTARIO</t>
  </si>
  <si>
    <t xml:space="preserve">Respiración del suelo (Solvita)</t>
  </si>
  <si>
    <t xml:space="preserve">CO₂ 24h, proxy actividad microbiana</t>
  </si>
  <si>
    <t xml:space="preserve">Actividad enzimática (trimestral)</t>
  </si>
  <si>
    <t xml:space="preserve">β-glucosidasa, fosfatasa, ureasa, DHA</t>
  </si>
  <si>
    <t xml:space="preserve">NPK + pH + EC + MO (semestral)</t>
  </si>
  <si>
    <t xml:space="preserve">Análisis completo fisicoquímico</t>
  </si>
  <si>
    <t xml:space="preserve">Textura (Bouyoucos) — una vez</t>
  </si>
  <si>
    <t xml:space="preserve">Arena, limo, arcilla por nodo</t>
  </si>
  <si>
    <t xml:space="preserve">Densidad aparente — una vez</t>
  </si>
  <si>
    <t xml:space="preserve">Cilindro de volumen conocido</t>
  </si>
  <si>
    <t xml:space="preserve">Muestreo gravimétrico (calibración)</t>
  </si>
  <si>
    <t xml:space="preserve">Semanal primeras 8 semanas</t>
  </si>
  <si>
    <t xml:space="preserve">SUBTOTAL ANÁLISIS FISICOQUÍMICO</t>
  </si>
  <si>
    <t xml:space="preserve">RESUMEN — OPCIÓN COMPLETA</t>
  </si>
  <si>
    <t xml:space="preserve">Hardware (inversión única)</t>
  </si>
  <si>
    <t xml:space="preserve">Infraestructura (18 meses)</t>
  </si>
  <si>
    <t xml:space="preserve">Laboratorio molecular (18 meses)</t>
  </si>
  <si>
    <t xml:space="preserve">Laboratorio fisicoquímico (18 meses)</t>
  </si>
  <si>
    <t xml:space="preserve">TOTAL INVERSIÓN PILOTO NEXTIPAC</t>
  </si>
  <si>
    <t xml:space="preserve">NOTAS:</t>
  </si>
  <si>
    <t xml:space="preserve">• Precios de qPCR asumen procesamiento interno en CUCBA (solo reactivos). Servicio externo puede costar 2-3× más.</t>
  </si>
  <si>
    <t xml:space="preserve">• Precios de secuenciación asumen tarifa académica LANGEBIO/CINVESTAV. Servicio comercial cuesta 2× más.</t>
  </si>
  <si>
    <t xml:space="preserve">• Extracción de ADN: 360 muestras = 36 quincenas × 8 nodos + 72 muestras para secuenciación (8 pools × 9 corridas).</t>
  </si>
  <si>
    <t xml:space="preserve">• qPCR: 288 muestras = 36 quincenas × 8 nodos. Cada muestra se corre con 4 targets (costos separados por target).</t>
  </si>
  <si>
    <t xml:space="preserve">• Secuenciación: 72 muestras = 9 corridas bimensuales × 8 muestras (pools de 3 profundidades por nodo).</t>
  </si>
  <si>
    <t xml:space="preserve">• Solvita: 288 tests = 36 quincenas × 8 nodos.</t>
  </si>
  <si>
    <t xml:space="preserve">• Si se obtiene financiamiento académico (CONAHCyT, PRODEP), el costo de laboratorio puede reducirse 40-60%.</t>
  </si>
  <si>
    <t xml:space="preserve">PRESUPUESTO PILOTO NEXTIPAC — OPCIÓN ECONÓMICA</t>
  </si>
  <si>
    <t xml:space="preserve">18 meses | 4 nodos | qPCR quincenal con pools | Secuenciación trimestral | Sin enzimáticas</t>
  </si>
  <si>
    <t xml:space="preserve">Número de nodos (Opción A)</t>
  </si>
  <si>
    <t xml:space="preserve">Quincenal con pools (4 muestras/ronda)</t>
  </si>
  <si>
    <t xml:space="preserve">Trimestral (6 corridas en 18 meses)</t>
  </si>
  <si>
    <t xml:space="preserve">4 (pools: 2 nodos tratam. + 2 nodos testigo)</t>
  </si>
  <si>
    <t xml:space="preserve">VPS en la nube</t>
  </si>
  <si>
    <t xml:space="preserve">Plan de datos celular</t>
  </si>
  <si>
    <t xml:space="preserve">500MB/mes para gateway</t>
  </si>
  <si>
    <t xml:space="preserve">Opcional pero recomendado</t>
  </si>
  <si>
    <t xml:space="preserve">API LLM</t>
  </si>
  <si>
    <t xml:space="preserve">~2 consultas/día</t>
  </si>
  <si>
    <t xml:space="preserve">Para qPCR + secuenciación</t>
  </si>
  <si>
    <t xml:space="preserve">Pools: 2 nodos → 1 muestra por rol</t>
  </si>
  <si>
    <t xml:space="preserve">Primers ITS/Ypt1</t>
  </si>
  <si>
    <t xml:space="preserve">Trimestral, tarifa académica</t>
  </si>
  <si>
    <t xml:space="preserve">Misma corrida que 16S</t>
  </si>
  <si>
    <t xml:space="preserve">4. LABORATORIO — ANÁLISIS FISICOQUÍMICO (mínimo)</t>
  </si>
  <si>
    <t xml:space="preserve">Quincenal con pools</t>
  </si>
  <si>
    <t xml:space="preserve">Análisis completo</t>
  </si>
  <si>
    <t xml:space="preserve">Por nodo</t>
  </si>
  <si>
    <t xml:space="preserve">Cilindro volumen conocido</t>
  </si>
  <si>
    <t xml:space="preserve">Semanal primeras 6 semanas</t>
  </si>
  <si>
    <t xml:space="preserve">RESUMEN — OPCIÓN ECONÓMICA</t>
  </si>
  <si>
    <t xml:space="preserve">AHORRO VS. OPCIÓN COMPLETA</t>
  </si>
  <si>
    <t xml:space="preserve">• 4 nodos en vez de 8: se usa Opción A (2 tratamiento + 2 testigo intercalados).</t>
  </si>
  <si>
    <t xml:space="preserve">• qPCR con pools: se combinan los 2 nodos del mismo rol en 1 muestra → 4 muestras/ronda en vez de 8.</t>
  </si>
  <si>
    <t xml:space="preserve">• Secuenciación trimestral en vez de bimensual: 6 corridas en vez de 9, con pools de 4 muestras.</t>
  </si>
  <si>
    <t xml:space="preserve">• Sin actividad enzimática: se compensa parcialmente con Solvita (respiración) que es más barato.</t>
  </si>
  <si>
    <t xml:space="preserve">• Menos muestras de calibración gravimétrica: 6 semanas en vez de 8.</t>
  </si>
  <si>
    <t xml:space="preserve">• El modelo tarda ~2-3 meses más en converger pero sigue siendo viable para 18 meses.</t>
  </si>
  <si>
    <t xml:space="preserve">• Si se obtiene financiamiento académico, el costo real puede bajar 40-60%.</t>
  </si>
  <si>
    <t xml:space="preserve">COMPARACIÓN DE OPCIONES + COSTO POR PREDIO NUEVO</t>
  </si>
  <si>
    <t xml:space="preserve">COMPARACIÓN DIRECTA</t>
  </si>
  <si>
    <t xml:space="preserve">Concepto</t>
  </si>
  <si>
    <t xml:space="preserve">Opción Completa</t>
  </si>
  <si>
    <t xml:space="preserve">Opción Económica</t>
  </si>
  <si>
    <t xml:space="preserve">Diferencia</t>
  </si>
  <si>
    <t xml:space="preserve">Nodos</t>
  </si>
  <si>
    <t xml:space="preserve">8</t>
  </si>
  <si>
    <t xml:space="preserve">4</t>
  </si>
  <si>
    <t xml:space="preserve">Quincenal (8 muestras)</t>
  </si>
  <si>
    <t xml:space="preserve">Quincenal (4 pools)</t>
  </si>
  <si>
    <t xml:space="preserve">Frecuencia secuenciación</t>
  </si>
  <si>
    <t xml:space="preserve">Bimensual (9 corridas)</t>
  </si>
  <si>
    <t xml:space="preserve">Trimestral (6 corridas)</t>
  </si>
  <si>
    <t xml:space="preserve">Actividad enzimática</t>
  </si>
  <si>
    <t xml:space="preserve">Trimestral</t>
  </si>
  <si>
    <t xml:space="preserve">No incluida</t>
  </si>
  <si>
    <t xml:space="preserve">Puntos pareados sensor-microbioma</t>
  </si>
  <si>
    <t xml:space="preserve">~288</t>
  </si>
  <si>
    <t xml:space="preserve">~144</t>
  </si>
  <si>
    <t xml:space="preserve">Tiempo estimado convergencia modelo</t>
  </si>
  <si>
    <t xml:space="preserve">9-12 meses</t>
  </si>
  <si>
    <t xml:space="preserve">12-15 meses</t>
  </si>
  <si>
    <t xml:space="preserve">COSTO TOTAL MXN</t>
  </si>
  <si>
    <t xml:space="preserve">COSTO TOTAL USD</t>
  </si>
  <si>
    <t xml:space="preserve">COSTO POR PREDIO NUEVO (después del entrenamiento en Nextipac)</t>
  </si>
  <si>
    <t xml:space="preserve">Mismo tipo de suelo</t>
  </si>
  <si>
    <t xml:space="preserve">Suelo diferente</t>
  </si>
  <si>
    <t xml:space="preserve">Notas</t>
  </si>
  <si>
    <t xml:space="preserve">Hardware (4 nodos + gateway)</t>
  </si>
  <si>
    <t xml:space="preserve">$22,000 MXN</t>
  </si>
  <si>
    <t xml:space="preserve">Igual siempre</t>
  </si>
  <si>
    <t xml:space="preserve">Secuenciación de entrada</t>
  </si>
  <si>
    <t xml:space="preserve">$8,000 MXN</t>
  </si>
  <si>
    <t xml:space="preserve">1 corrida, 4 pools</t>
  </si>
  <si>
    <t xml:space="preserve">qPCR calibración</t>
  </si>
  <si>
    <t xml:space="preserve">$0</t>
  </si>
  <si>
    <t xml:space="preserve">$15,000-20,000 MXN</t>
  </si>
  <si>
    <t xml:space="preserve">0 vs. 3-4 meses quincenal</t>
  </si>
  <si>
    <t xml:space="preserve">Secuenciación verificación (6 meses)</t>
  </si>
  <si>
    <t xml:space="preserve">Solo suelo diferente</t>
  </si>
  <si>
    <t xml:space="preserve">Fisicoquímico básico</t>
  </si>
  <si>
    <t xml:space="preserve">$3,000 MXN</t>
  </si>
  <si>
    <t xml:space="preserve">$5,000 MXN</t>
  </si>
  <si>
    <t xml:space="preserve">NPK + textura + DA</t>
  </si>
  <si>
    <t xml:space="preserve">Infraestructura (primer año)</t>
  </si>
  <si>
    <t xml:space="preserve">$2,400 MXN</t>
  </si>
  <si>
    <t xml:space="preserve">VPS + datos celular</t>
  </si>
  <si>
    <t xml:space="preserve">TOTAL POR PREDIO NUEVO</t>
  </si>
  <si>
    <t xml:space="preserve">~$35,400 MXN</t>
  </si>
  <si>
    <t xml:space="preserve">~$55,400-65,400 MXN</t>
  </si>
  <si>
    <t xml:space="preserve">vs. $150,000-300,000 del piloto</t>
  </si>
  <si>
    <t xml:space="preserve">CURVA DE COSTOS POR PREDIO (acumulativo)</t>
  </si>
  <si>
    <t xml:space="preserve">Predio #</t>
  </si>
  <si>
    <t xml:space="preserve">Costo del predio MXN</t>
  </si>
  <si>
    <t xml:space="preserve">Costo acumulado MXN</t>
  </si>
  <si>
    <t xml:space="preserve">Costo promedio/predio MXN</t>
  </si>
  <si>
    <t xml:space="preserve">1 — Nextipac (entrenamiento)</t>
  </si>
  <si>
    <t xml:space="preserve">2 — Mismo suelo</t>
  </si>
  <si>
    <t xml:space="preserve">3 — Mismo suelo</t>
  </si>
  <si>
    <t xml:space="preserve">4 — Mismo suelo</t>
  </si>
  <si>
    <t xml:space="preserve">5 — Suelo diferente (nuevo modelo)</t>
  </si>
  <si>
    <t xml:space="preserve">6 — Mismo suelo (modelo 2)</t>
  </si>
  <si>
    <t xml:space="preserve">7 — Mismo suelo (modelo 2)</t>
  </si>
  <si>
    <t xml:space="preserve">8 — Mismo suelo</t>
  </si>
  <si>
    <t xml:space="preserve">9 — Mismo suelo</t>
  </si>
  <si>
    <t xml:space="preserve">10 — Mismo suelo</t>
  </si>
  <si>
    <t xml:space="preserve">El costo promedio por predio baja de $200,000 a ~$54,000 con 10 predios.</t>
  </si>
  <si>
    <t xml:space="preserve">Con 10 predios de 4ha = 40ha, a $10,500 MXN/ha/año de ingreso = $420,000 MXN/año recurrente.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</si>
</sst>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332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2"/>
      <color rgb="FF2D6A4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B433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B433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8F5E9"/>
        <bgColor rgb="FFD8F3DC"/>
      </patternFill>
    </fill>
    <fill>
      <patternFill patternType="solid">
        <fgColor rgb="FF2D6A4F"/>
        <bgColor rgb="FF666666"/>
      </patternFill>
    </fill>
    <fill>
      <patternFill patternType="solid">
        <fgColor rgb="FFD8F3DC"/>
        <bgColor rgb="FFE8F5E9"/>
      </patternFill>
    </fill>
    <fill>
      <patternFill patternType="solid">
        <fgColor rgb="FFB7E4C7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CCCCC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B7E4C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F99"/>
      <rgbColor rgb="FF99CCFF"/>
      <rgbColor rgb="FFFF99CC"/>
      <rgbColor rgb="FFCC99FF"/>
      <rgbColor rgb="FFFFCC99"/>
      <rgbColor rgb="FF3366FF"/>
      <rgbColor rgb="FF52B788"/>
      <rgbColor rgb="FF99CC00"/>
      <rgbColor rgb="FFFFCC00"/>
      <rgbColor rgb="FFFF9900"/>
      <rgbColor rgb="FFFF6600"/>
      <rgbColor rgb="FF666666"/>
      <rgbColor rgb="FF969696"/>
      <rgbColor rgb="FF003366"/>
      <rgbColor rgb="FF40916C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F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5" t="s">
        <v>3</v>
      </c>
      <c r="B5" s="6" t="n">
        <v>18</v>
      </c>
    </row>
    <row r="6" customFormat="false" ht="15" hidden="false" customHeight="false" outlineLevel="0" collapsed="false">
      <c r="A6" s="5" t="s">
        <v>4</v>
      </c>
      <c r="B6" s="6" t="n">
        <v>8</v>
      </c>
    </row>
    <row r="7" customFormat="false" ht="15" hidden="false" customHeight="false" outlineLevel="0" collapsed="false">
      <c r="A7" s="5" t="s">
        <v>5</v>
      </c>
      <c r="B7" s="6" t="n">
        <v>4</v>
      </c>
    </row>
    <row r="8" customFormat="false" ht="15" hidden="false" customHeight="false" outlineLevel="0" collapsed="false">
      <c r="A8" s="5" t="s">
        <v>6</v>
      </c>
      <c r="B8" s="6" t="n">
        <v>20</v>
      </c>
    </row>
    <row r="9" customFormat="false" ht="15" hidden="false" customHeight="false" outlineLevel="0" collapsed="false">
      <c r="A9" s="5" t="s">
        <v>7</v>
      </c>
      <c r="B9" s="5" t="s">
        <v>8</v>
      </c>
    </row>
    <row r="10" customFormat="false" ht="15" hidden="false" customHeight="false" outlineLevel="0" collapsed="false">
      <c r="A10" s="5" t="s">
        <v>9</v>
      </c>
      <c r="B10" s="5" t="s">
        <v>10</v>
      </c>
    </row>
    <row r="11" customFormat="false" ht="15" hidden="false" customHeight="false" outlineLevel="0" collapsed="false">
      <c r="A11" s="5" t="s">
        <v>11</v>
      </c>
      <c r="B11" s="5" t="s">
        <v>12</v>
      </c>
    </row>
    <row r="13" customFormat="false" ht="15" hidden="false" customHeight="false" outlineLevel="0" collapsed="false">
      <c r="A13" s="3" t="s">
        <v>13</v>
      </c>
      <c r="B13" s="4"/>
      <c r="C13" s="4"/>
      <c r="D13" s="4"/>
      <c r="E13" s="4"/>
      <c r="F13" s="4"/>
    </row>
    <row r="14" customFormat="false" ht="26.85" hidden="false" customHeight="false" outlineLevel="0" collapsed="false">
      <c r="A14" s="7" t="s">
        <v>14</v>
      </c>
      <c r="B14" s="7" t="s">
        <v>15</v>
      </c>
      <c r="C14" s="7" t="s">
        <v>16</v>
      </c>
      <c r="D14" s="7" t="s">
        <v>17</v>
      </c>
      <c r="E14" s="7" t="s">
        <v>18</v>
      </c>
      <c r="F14" s="7" t="s">
        <v>19</v>
      </c>
    </row>
    <row r="15" customFormat="false" ht="15" hidden="false" customHeight="false" outlineLevel="0" collapsed="false">
      <c r="A15" s="8" t="s">
        <v>20</v>
      </c>
      <c r="B15" s="8" t="s">
        <v>21</v>
      </c>
      <c r="C15" s="9" t="n">
        <v>8</v>
      </c>
      <c r="D15" s="10" t="n">
        <v>955</v>
      </c>
      <c r="E15" s="10" t="n">
        <f aca="false">C15*D15</f>
        <v>7640</v>
      </c>
      <c r="F15" s="11" t="n">
        <f aca="false">E15/$B$8</f>
        <v>382</v>
      </c>
    </row>
    <row r="16" customFormat="false" ht="15" hidden="false" customHeight="false" outlineLevel="0" collapsed="false">
      <c r="A16" s="8" t="s">
        <v>22</v>
      </c>
      <c r="B16" s="8" t="s">
        <v>23</v>
      </c>
      <c r="C16" s="9" t="n">
        <v>24</v>
      </c>
      <c r="D16" s="10" t="n">
        <v>60</v>
      </c>
      <c r="E16" s="10" t="n">
        <f aca="false">C16*D16</f>
        <v>1440</v>
      </c>
      <c r="F16" s="11" t="n">
        <f aca="false">E16/$B$8</f>
        <v>72</v>
      </c>
    </row>
    <row r="17" customFormat="false" ht="15" hidden="false" customHeight="false" outlineLevel="0" collapsed="false">
      <c r="A17" s="8" t="s">
        <v>24</v>
      </c>
      <c r="B17" s="8" t="s">
        <v>25</v>
      </c>
      <c r="C17" s="9" t="n">
        <v>8</v>
      </c>
      <c r="D17" s="10" t="n">
        <v>80</v>
      </c>
      <c r="E17" s="10" t="n">
        <f aca="false">C17*D17</f>
        <v>640</v>
      </c>
      <c r="F17" s="11" t="n">
        <f aca="false">E17/$B$8</f>
        <v>32</v>
      </c>
    </row>
    <row r="18" customFormat="false" ht="15" hidden="false" customHeight="false" outlineLevel="0" collapsed="false">
      <c r="A18" s="8" t="s">
        <v>26</v>
      </c>
      <c r="B18" s="8" t="s">
        <v>27</v>
      </c>
      <c r="C18" s="9" t="n">
        <v>8</v>
      </c>
      <c r="D18" s="10" t="n">
        <v>150</v>
      </c>
      <c r="E18" s="10" t="n">
        <f aca="false">C18*D18</f>
        <v>1200</v>
      </c>
      <c r="F18" s="11" t="n">
        <f aca="false">E18/$B$8</f>
        <v>60</v>
      </c>
    </row>
    <row r="19" customFormat="false" ht="15" hidden="false" customHeight="false" outlineLevel="0" collapsed="false">
      <c r="A19" s="8" t="s">
        <v>28</v>
      </c>
      <c r="B19" s="8" t="s">
        <v>29</v>
      </c>
      <c r="C19" s="9" t="n">
        <v>8</v>
      </c>
      <c r="D19" s="10" t="n">
        <v>200</v>
      </c>
      <c r="E19" s="10" t="n">
        <f aca="false">C19*D19</f>
        <v>1600</v>
      </c>
      <c r="F19" s="11" t="n">
        <f aca="false">E19/$B$8</f>
        <v>80</v>
      </c>
    </row>
    <row r="20" customFormat="false" ht="15" hidden="false" customHeight="false" outlineLevel="0" collapsed="false">
      <c r="A20" s="8" t="s">
        <v>30</v>
      </c>
      <c r="B20" s="8" t="s">
        <v>31</v>
      </c>
      <c r="C20" s="9" t="n">
        <v>8</v>
      </c>
      <c r="D20" s="10" t="n">
        <v>250</v>
      </c>
      <c r="E20" s="10" t="n">
        <f aca="false">C20*D20</f>
        <v>2000</v>
      </c>
      <c r="F20" s="11" t="n">
        <f aca="false">E20/$B$8</f>
        <v>100</v>
      </c>
    </row>
    <row r="21" customFormat="false" ht="15" hidden="false" customHeight="false" outlineLevel="0" collapsed="false">
      <c r="A21" s="8" t="s">
        <v>32</v>
      </c>
      <c r="B21" s="8" t="s">
        <v>33</v>
      </c>
      <c r="C21" s="9" t="n">
        <v>1</v>
      </c>
      <c r="D21" s="10" t="n">
        <v>5000</v>
      </c>
      <c r="E21" s="10" t="n">
        <f aca="false">C21*D21</f>
        <v>5000</v>
      </c>
      <c r="F21" s="11" t="n">
        <f aca="false">E21/$B$8</f>
        <v>250</v>
      </c>
    </row>
    <row r="22" customFormat="false" ht="15" hidden="false" customHeight="false" outlineLevel="0" collapsed="false">
      <c r="A22" s="8" t="s">
        <v>34</v>
      </c>
      <c r="B22" s="8" t="s">
        <v>35</v>
      </c>
      <c r="C22" s="9" t="n">
        <v>1</v>
      </c>
      <c r="D22" s="10" t="n">
        <v>2000</v>
      </c>
      <c r="E22" s="10" t="n">
        <f aca="false">C22*D22</f>
        <v>2000</v>
      </c>
      <c r="F22" s="11" t="n">
        <f aca="false">E22/$B$8</f>
        <v>100</v>
      </c>
    </row>
    <row r="23" customFormat="false" ht="15" hidden="false" customHeight="false" outlineLevel="0" collapsed="false">
      <c r="A23" s="12" t="s">
        <v>36</v>
      </c>
      <c r="B23" s="12"/>
      <c r="C23" s="13"/>
      <c r="D23" s="13"/>
      <c r="E23" s="14" t="n">
        <f aca="false">SUM(E15:E22)</f>
        <v>21520</v>
      </c>
      <c r="F23" s="15" t="n">
        <f aca="false">E23/$B$8</f>
        <v>1076</v>
      </c>
    </row>
    <row r="25" customFormat="false" ht="15" hidden="false" customHeight="false" outlineLevel="0" collapsed="false">
      <c r="A25" s="3" t="s">
        <v>37</v>
      </c>
      <c r="B25" s="4"/>
      <c r="C25" s="4"/>
      <c r="D25" s="4"/>
      <c r="E25" s="4"/>
      <c r="F25" s="4"/>
    </row>
    <row r="26" customFormat="false" ht="26.85" hidden="false" customHeight="false" outlineLevel="0" collapsed="false">
      <c r="A26" s="7" t="s">
        <v>14</v>
      </c>
      <c r="B26" s="7" t="s">
        <v>15</v>
      </c>
      <c r="C26" s="7" t="s">
        <v>38</v>
      </c>
      <c r="D26" s="7" t="s">
        <v>39</v>
      </c>
      <c r="E26" s="7" t="s">
        <v>18</v>
      </c>
      <c r="F26" s="7" t="s">
        <v>19</v>
      </c>
    </row>
    <row r="27" customFormat="false" ht="15" hidden="false" customHeight="false" outlineLevel="0" collapsed="false">
      <c r="A27" s="8" t="s">
        <v>40</v>
      </c>
      <c r="B27" s="8" t="s">
        <v>41</v>
      </c>
      <c r="C27" s="9" t="n">
        <v>18</v>
      </c>
      <c r="D27" s="10" t="n">
        <v>120</v>
      </c>
      <c r="E27" s="10" t="n">
        <f aca="false">C27*D27</f>
        <v>2160</v>
      </c>
      <c r="F27" s="11" t="n">
        <f aca="false">E27/$B$8</f>
        <v>108</v>
      </c>
    </row>
    <row r="28" customFormat="false" ht="15" hidden="false" customHeight="false" outlineLevel="0" collapsed="false">
      <c r="A28" s="8" t="s">
        <v>42</v>
      </c>
      <c r="B28" s="8" t="s">
        <v>43</v>
      </c>
      <c r="C28" s="9" t="n">
        <v>18</v>
      </c>
      <c r="D28" s="10" t="n">
        <v>80</v>
      </c>
      <c r="E28" s="10" t="n">
        <f aca="false">C28*D28</f>
        <v>1440</v>
      </c>
      <c r="F28" s="11" t="n">
        <f aca="false">E28/$B$8</f>
        <v>72</v>
      </c>
    </row>
    <row r="29" customFormat="false" ht="15" hidden="false" customHeight="false" outlineLevel="0" collapsed="false">
      <c r="A29" s="8" t="s">
        <v>44</v>
      </c>
      <c r="B29" s="8" t="s">
        <v>45</v>
      </c>
      <c r="C29" s="9" t="n">
        <v>18</v>
      </c>
      <c r="D29" s="10" t="n">
        <v>15</v>
      </c>
      <c r="E29" s="10" t="n">
        <f aca="false">C29*D29</f>
        <v>270</v>
      </c>
      <c r="F29" s="11" t="n">
        <f aca="false">E29/$B$8</f>
        <v>13.5</v>
      </c>
    </row>
    <row r="30" customFormat="false" ht="15" hidden="false" customHeight="false" outlineLevel="0" collapsed="false">
      <c r="A30" s="8" t="s">
        <v>46</v>
      </c>
      <c r="B30" s="8" t="s">
        <v>47</v>
      </c>
      <c r="C30" s="9" t="n">
        <v>18</v>
      </c>
      <c r="D30" s="10" t="n">
        <v>10</v>
      </c>
      <c r="E30" s="10" t="n">
        <f aca="false">C30*D30</f>
        <v>180</v>
      </c>
      <c r="F30" s="11" t="n">
        <f aca="false">E30/$B$8</f>
        <v>9</v>
      </c>
    </row>
    <row r="31" customFormat="false" ht="15" hidden="false" customHeight="false" outlineLevel="0" collapsed="false">
      <c r="A31" s="12" t="s">
        <v>48</v>
      </c>
      <c r="B31" s="12"/>
      <c r="C31" s="13"/>
      <c r="D31" s="13"/>
      <c r="E31" s="14" t="n">
        <f aca="false">SUM(E27:E30)</f>
        <v>4050</v>
      </c>
      <c r="F31" s="15" t="n">
        <f aca="false">E31/$B$8</f>
        <v>202.5</v>
      </c>
    </row>
    <row r="33" customFormat="false" ht="15" hidden="false" customHeight="false" outlineLevel="0" collapsed="false">
      <c r="A33" s="3" t="s">
        <v>49</v>
      </c>
      <c r="B33" s="4"/>
      <c r="C33" s="4"/>
      <c r="D33" s="4"/>
      <c r="E33" s="4"/>
      <c r="F33" s="4"/>
    </row>
    <row r="34" customFormat="false" ht="26.85" hidden="false" customHeight="false" outlineLevel="0" collapsed="false">
      <c r="A34" s="7" t="s">
        <v>50</v>
      </c>
      <c r="B34" s="7" t="s">
        <v>15</v>
      </c>
      <c r="C34" s="7" t="s">
        <v>51</v>
      </c>
      <c r="D34" s="7" t="s">
        <v>52</v>
      </c>
      <c r="E34" s="7" t="s">
        <v>18</v>
      </c>
      <c r="F34" s="7" t="s">
        <v>19</v>
      </c>
    </row>
    <row r="35" customFormat="false" ht="15" hidden="false" customHeight="false" outlineLevel="0" collapsed="false">
      <c r="A35" s="8" t="s">
        <v>53</v>
      </c>
      <c r="B35" s="8" t="s">
        <v>54</v>
      </c>
      <c r="C35" s="9" t="n">
        <v>360</v>
      </c>
      <c r="D35" s="10" t="n">
        <v>180</v>
      </c>
      <c r="E35" s="10" t="n">
        <f aca="false">C35*D35</f>
        <v>64800</v>
      </c>
      <c r="F35" s="11" t="n">
        <f aca="false">E35/$B$8</f>
        <v>3240</v>
      </c>
    </row>
    <row r="36" customFormat="false" ht="15" hidden="false" customHeight="false" outlineLevel="0" collapsed="false">
      <c r="A36" s="8" t="s">
        <v>55</v>
      </c>
      <c r="B36" s="8" t="s">
        <v>56</v>
      </c>
      <c r="C36" s="9" t="n">
        <v>288</v>
      </c>
      <c r="D36" s="10" t="n">
        <v>100</v>
      </c>
      <c r="E36" s="10" t="n">
        <f aca="false">C36*D36</f>
        <v>28800</v>
      </c>
      <c r="F36" s="11" t="n">
        <f aca="false">E36/$B$8</f>
        <v>1440</v>
      </c>
    </row>
    <row r="37" customFormat="false" ht="15" hidden="false" customHeight="false" outlineLevel="0" collapsed="false">
      <c r="A37" s="8" t="s">
        <v>57</v>
      </c>
      <c r="B37" s="8" t="s">
        <v>58</v>
      </c>
      <c r="C37" s="9" t="n">
        <v>288</v>
      </c>
      <c r="D37" s="10" t="n">
        <v>120</v>
      </c>
      <c r="E37" s="10" t="n">
        <f aca="false">C37*D37</f>
        <v>34560</v>
      </c>
      <c r="F37" s="11" t="n">
        <f aca="false">E37/$B$8</f>
        <v>1728</v>
      </c>
    </row>
    <row r="38" customFormat="false" ht="15" hidden="false" customHeight="false" outlineLevel="0" collapsed="false">
      <c r="A38" s="8" t="s">
        <v>59</v>
      </c>
      <c r="B38" s="8" t="s">
        <v>60</v>
      </c>
      <c r="C38" s="9" t="n">
        <v>288</v>
      </c>
      <c r="D38" s="10" t="n">
        <v>120</v>
      </c>
      <c r="E38" s="10" t="n">
        <f aca="false">C38*D38</f>
        <v>34560</v>
      </c>
      <c r="F38" s="11" t="n">
        <f aca="false">E38/$B$8</f>
        <v>1728</v>
      </c>
    </row>
    <row r="39" customFormat="false" ht="15" hidden="false" customHeight="false" outlineLevel="0" collapsed="false">
      <c r="A39" s="8" t="s">
        <v>61</v>
      </c>
      <c r="B39" s="8" t="s">
        <v>62</v>
      </c>
      <c r="C39" s="9" t="n">
        <v>288</v>
      </c>
      <c r="D39" s="10" t="n">
        <v>130</v>
      </c>
      <c r="E39" s="10" t="n">
        <f aca="false">C39*D39</f>
        <v>37440</v>
      </c>
      <c r="F39" s="11" t="n">
        <f aca="false">E39/$B$8</f>
        <v>1872</v>
      </c>
    </row>
    <row r="40" customFormat="false" ht="15" hidden="false" customHeight="false" outlineLevel="0" collapsed="false">
      <c r="A40" s="8" t="s">
        <v>63</v>
      </c>
      <c r="B40" s="8" t="s">
        <v>64</v>
      </c>
      <c r="C40" s="9" t="n">
        <v>72</v>
      </c>
      <c r="D40" s="10" t="n">
        <v>1200</v>
      </c>
      <c r="E40" s="10" t="n">
        <f aca="false">C40*D40</f>
        <v>86400</v>
      </c>
      <c r="F40" s="11" t="n">
        <f aca="false">E40/$B$8</f>
        <v>4320</v>
      </c>
    </row>
    <row r="41" customFormat="false" ht="15" hidden="false" customHeight="false" outlineLevel="0" collapsed="false">
      <c r="A41" s="8" t="s">
        <v>65</v>
      </c>
      <c r="B41" s="8" t="s">
        <v>66</v>
      </c>
      <c r="C41" s="9" t="n">
        <v>72</v>
      </c>
      <c r="D41" s="10" t="n">
        <v>800</v>
      </c>
      <c r="E41" s="10" t="n">
        <f aca="false">C41*D41</f>
        <v>57600</v>
      </c>
      <c r="F41" s="11" t="n">
        <f aca="false">E41/$B$8</f>
        <v>2880</v>
      </c>
    </row>
    <row r="42" customFormat="false" ht="15" hidden="false" customHeight="false" outlineLevel="0" collapsed="false">
      <c r="A42" s="8" t="s">
        <v>67</v>
      </c>
      <c r="B42" s="8" t="s">
        <v>68</v>
      </c>
      <c r="C42" s="9" t="n">
        <v>72</v>
      </c>
      <c r="D42" s="10" t="n">
        <v>400</v>
      </c>
      <c r="E42" s="10" t="n">
        <f aca="false">C42*D42</f>
        <v>28800</v>
      </c>
      <c r="F42" s="11" t="n">
        <f aca="false">E42/$B$8</f>
        <v>1440</v>
      </c>
    </row>
    <row r="43" customFormat="false" ht="15" hidden="false" customHeight="false" outlineLevel="0" collapsed="false">
      <c r="A43" s="12" t="s">
        <v>69</v>
      </c>
      <c r="B43" s="12"/>
      <c r="C43" s="13"/>
      <c r="D43" s="13"/>
      <c r="E43" s="14" t="n">
        <f aca="false">SUM(E35:E42)</f>
        <v>372960</v>
      </c>
      <c r="F43" s="15" t="n">
        <f aca="false">E43/$B$8</f>
        <v>18648</v>
      </c>
    </row>
    <row r="45" customFormat="false" ht="15" hidden="false" customHeight="false" outlineLevel="0" collapsed="false">
      <c r="A45" s="3" t="s">
        <v>70</v>
      </c>
      <c r="B45" s="4"/>
      <c r="C45" s="4"/>
      <c r="D45" s="4"/>
      <c r="E45" s="4"/>
      <c r="F45" s="4"/>
    </row>
    <row r="46" customFormat="false" ht="26.85" hidden="false" customHeight="false" outlineLevel="0" collapsed="false">
      <c r="A46" s="7" t="s">
        <v>50</v>
      </c>
      <c r="B46" s="7" t="s">
        <v>15</v>
      </c>
      <c r="C46" s="7" t="s">
        <v>51</v>
      </c>
      <c r="D46" s="7" t="s">
        <v>52</v>
      </c>
      <c r="E46" s="7" t="s">
        <v>18</v>
      </c>
      <c r="F46" s="7" t="s">
        <v>19</v>
      </c>
    </row>
    <row r="47" customFormat="false" ht="15" hidden="false" customHeight="false" outlineLevel="0" collapsed="false">
      <c r="A47" s="8" t="s">
        <v>71</v>
      </c>
      <c r="B47" s="8" t="s">
        <v>72</v>
      </c>
      <c r="C47" s="9" t="n">
        <v>288</v>
      </c>
      <c r="D47" s="10" t="n">
        <v>150</v>
      </c>
      <c r="E47" s="10" t="n">
        <f aca="false">C47*D47</f>
        <v>43200</v>
      </c>
      <c r="F47" s="11" t="n">
        <f aca="false">E47/$B$8</f>
        <v>2160</v>
      </c>
    </row>
    <row r="48" customFormat="false" ht="15" hidden="false" customHeight="false" outlineLevel="0" collapsed="false">
      <c r="A48" s="8" t="s">
        <v>73</v>
      </c>
      <c r="B48" s="8" t="s">
        <v>74</v>
      </c>
      <c r="C48" s="9" t="n">
        <v>48</v>
      </c>
      <c r="D48" s="10" t="n">
        <v>400</v>
      </c>
      <c r="E48" s="10" t="n">
        <f aca="false">C48*D48</f>
        <v>19200</v>
      </c>
      <c r="F48" s="11" t="n">
        <f aca="false">E48/$B$8</f>
        <v>960</v>
      </c>
    </row>
    <row r="49" customFormat="false" ht="15" hidden="false" customHeight="false" outlineLevel="0" collapsed="false">
      <c r="A49" s="8" t="s">
        <v>75</v>
      </c>
      <c r="B49" s="8" t="s">
        <v>76</v>
      </c>
      <c r="C49" s="9" t="n">
        <v>24</v>
      </c>
      <c r="D49" s="10" t="n">
        <v>600</v>
      </c>
      <c r="E49" s="10" t="n">
        <f aca="false">C49*D49</f>
        <v>14400</v>
      </c>
      <c r="F49" s="11" t="n">
        <f aca="false">E49/$B$8</f>
        <v>720</v>
      </c>
    </row>
    <row r="50" customFormat="false" ht="15" hidden="false" customHeight="false" outlineLevel="0" collapsed="false">
      <c r="A50" s="8" t="s">
        <v>77</v>
      </c>
      <c r="B50" s="8" t="s">
        <v>78</v>
      </c>
      <c r="C50" s="9" t="n">
        <v>8</v>
      </c>
      <c r="D50" s="10" t="n">
        <v>300</v>
      </c>
      <c r="E50" s="10" t="n">
        <f aca="false">C50*D50</f>
        <v>2400</v>
      </c>
      <c r="F50" s="11" t="n">
        <f aca="false">E50/$B$8</f>
        <v>120</v>
      </c>
    </row>
    <row r="51" customFormat="false" ht="15" hidden="false" customHeight="false" outlineLevel="0" collapsed="false">
      <c r="A51" s="8" t="s">
        <v>79</v>
      </c>
      <c r="B51" s="8" t="s">
        <v>80</v>
      </c>
      <c r="C51" s="9" t="n">
        <v>8</v>
      </c>
      <c r="D51" s="10" t="n">
        <v>150</v>
      </c>
      <c r="E51" s="10" t="n">
        <f aca="false">C51*D51</f>
        <v>1200</v>
      </c>
      <c r="F51" s="11" t="n">
        <f aca="false">E51/$B$8</f>
        <v>60</v>
      </c>
    </row>
    <row r="52" customFormat="false" ht="15" hidden="false" customHeight="false" outlineLevel="0" collapsed="false">
      <c r="A52" s="8" t="s">
        <v>81</v>
      </c>
      <c r="B52" s="8" t="s">
        <v>82</v>
      </c>
      <c r="C52" s="9" t="n">
        <v>64</v>
      </c>
      <c r="D52" s="10" t="n">
        <v>50</v>
      </c>
      <c r="E52" s="10" t="n">
        <f aca="false">C52*D52</f>
        <v>3200</v>
      </c>
      <c r="F52" s="11" t="n">
        <f aca="false">E52/$B$8</f>
        <v>160</v>
      </c>
    </row>
    <row r="53" customFormat="false" ht="15" hidden="false" customHeight="false" outlineLevel="0" collapsed="false">
      <c r="A53" s="12" t="s">
        <v>83</v>
      </c>
      <c r="B53" s="12"/>
      <c r="C53" s="13"/>
      <c r="D53" s="13"/>
      <c r="E53" s="14" t="n">
        <f aca="false">SUM(E47:E52)</f>
        <v>83600</v>
      </c>
      <c r="F53" s="15" t="n">
        <f aca="false">E53/$B$8</f>
        <v>4180</v>
      </c>
    </row>
    <row r="55" customFormat="false" ht="15" hidden="false" customHeight="false" outlineLevel="0" collapsed="false">
      <c r="A55" s="3" t="s">
        <v>84</v>
      </c>
      <c r="B55" s="4"/>
      <c r="C55" s="4"/>
      <c r="D55" s="4"/>
      <c r="E55" s="4"/>
      <c r="F55" s="4"/>
    </row>
    <row r="56" customFormat="false" ht="15" hidden="false" customHeight="false" outlineLevel="0" collapsed="false">
      <c r="A56" s="8" t="s">
        <v>85</v>
      </c>
      <c r="B56" s="8"/>
      <c r="C56" s="9"/>
      <c r="D56" s="9"/>
      <c r="E56" s="10" t="n">
        <f aca="false">E23</f>
        <v>21520</v>
      </c>
      <c r="F56" s="11" t="n">
        <f aca="false">E56/$B$8</f>
        <v>1076</v>
      </c>
    </row>
    <row r="57" customFormat="false" ht="15" hidden="false" customHeight="false" outlineLevel="0" collapsed="false">
      <c r="A57" s="8" t="s">
        <v>86</v>
      </c>
      <c r="B57" s="8"/>
      <c r="C57" s="9"/>
      <c r="D57" s="9"/>
      <c r="E57" s="10" t="n">
        <f aca="false">E31</f>
        <v>4050</v>
      </c>
      <c r="F57" s="11" t="n">
        <f aca="false">E57/$B$8</f>
        <v>202.5</v>
      </c>
    </row>
    <row r="58" customFormat="false" ht="15" hidden="false" customHeight="false" outlineLevel="0" collapsed="false">
      <c r="A58" s="8" t="s">
        <v>87</v>
      </c>
      <c r="B58" s="8"/>
      <c r="C58" s="9"/>
      <c r="D58" s="9"/>
      <c r="E58" s="10" t="n">
        <f aca="false">E43</f>
        <v>372960</v>
      </c>
      <c r="F58" s="11" t="n">
        <f aca="false">E58/$B$8</f>
        <v>18648</v>
      </c>
    </row>
    <row r="59" customFormat="false" ht="15" hidden="false" customHeight="false" outlineLevel="0" collapsed="false">
      <c r="A59" s="8" t="s">
        <v>88</v>
      </c>
      <c r="B59" s="8"/>
      <c r="C59" s="9"/>
      <c r="D59" s="9"/>
      <c r="E59" s="10" t="n">
        <f aca="false">E53</f>
        <v>83600</v>
      </c>
      <c r="F59" s="11" t="n">
        <f aca="false">E59/$B$8</f>
        <v>4180</v>
      </c>
    </row>
    <row r="60" customFormat="false" ht="15" hidden="false" customHeight="false" outlineLevel="0" collapsed="false">
      <c r="A60" s="16" t="s">
        <v>89</v>
      </c>
      <c r="B60" s="17"/>
      <c r="C60" s="18"/>
      <c r="D60" s="18"/>
      <c r="E60" s="19" t="n">
        <f aca="false">E56+E57+E58+E59</f>
        <v>482130</v>
      </c>
      <c r="F60" s="20" t="n">
        <f aca="false">E60/$B$8</f>
        <v>24106.5</v>
      </c>
    </row>
    <row r="62" customFormat="false" ht="15" hidden="false" customHeight="false" outlineLevel="0" collapsed="false">
      <c r="A62" s="21" t="s">
        <v>90</v>
      </c>
    </row>
    <row r="63" customFormat="false" ht="15" hidden="false" customHeight="false" outlineLevel="0" collapsed="false">
      <c r="A63" s="22" t="s">
        <v>91</v>
      </c>
      <c r="B63" s="22"/>
      <c r="C63" s="22"/>
      <c r="D63" s="22"/>
      <c r="E63" s="22"/>
      <c r="F63" s="22"/>
    </row>
    <row r="64" customFormat="false" ht="15" hidden="false" customHeight="false" outlineLevel="0" collapsed="false">
      <c r="A64" s="22" t="s">
        <v>92</v>
      </c>
      <c r="B64" s="22"/>
      <c r="C64" s="22"/>
      <c r="D64" s="22"/>
      <c r="E64" s="22"/>
      <c r="F64" s="22"/>
    </row>
    <row r="65" customFormat="false" ht="15" hidden="false" customHeight="false" outlineLevel="0" collapsed="false">
      <c r="A65" s="22" t="s">
        <v>93</v>
      </c>
      <c r="B65" s="22"/>
      <c r="C65" s="22"/>
      <c r="D65" s="22"/>
      <c r="E65" s="22"/>
      <c r="F65" s="22"/>
    </row>
    <row r="66" customFormat="false" ht="15" hidden="false" customHeight="false" outlineLevel="0" collapsed="false">
      <c r="A66" s="22" t="s">
        <v>94</v>
      </c>
      <c r="B66" s="22"/>
      <c r="C66" s="22"/>
      <c r="D66" s="22"/>
      <c r="E66" s="22"/>
      <c r="F66" s="22"/>
    </row>
    <row r="67" customFormat="false" ht="15" hidden="false" customHeight="false" outlineLevel="0" collapsed="false">
      <c r="A67" s="22" t="s">
        <v>95</v>
      </c>
      <c r="B67" s="22"/>
      <c r="C67" s="22"/>
      <c r="D67" s="22"/>
      <c r="E67" s="22"/>
      <c r="F67" s="22"/>
    </row>
    <row r="68" customFormat="false" ht="15" hidden="false" customHeight="false" outlineLevel="0" collapsed="false">
      <c r="A68" s="22" t="s">
        <v>96</v>
      </c>
      <c r="B68" s="22"/>
      <c r="C68" s="22"/>
      <c r="D68" s="22"/>
      <c r="E68" s="22"/>
      <c r="F68" s="22"/>
    </row>
    <row r="69" customFormat="false" ht="15" hidden="false" customHeight="false" outlineLevel="0" collapsed="false">
      <c r="A69" s="22" t="s">
        <v>97</v>
      </c>
      <c r="B69" s="22"/>
      <c r="C69" s="22"/>
      <c r="D69" s="22"/>
      <c r="E69" s="22"/>
      <c r="F69" s="22"/>
    </row>
  </sheetData>
  <mergeCells count="9">
    <mergeCell ref="A1:F1"/>
    <mergeCell ref="A2:F2"/>
    <mergeCell ref="A63:F63"/>
    <mergeCell ref="A64:F64"/>
    <mergeCell ref="A65:F65"/>
    <mergeCell ref="A66:F66"/>
    <mergeCell ref="A67:F67"/>
    <mergeCell ref="A68:F68"/>
    <mergeCell ref="A69:F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916C"/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8"/>
  </cols>
  <sheetData>
    <row r="1" customFormat="false" ht="17.35" hidden="false" customHeight="false" outlineLevel="0" collapsed="false">
      <c r="A1" s="1" t="s">
        <v>98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99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5" t="s">
        <v>3</v>
      </c>
      <c r="B5" s="6" t="n">
        <v>18</v>
      </c>
    </row>
    <row r="6" customFormat="false" ht="15" hidden="false" customHeight="false" outlineLevel="0" collapsed="false">
      <c r="A6" s="5" t="s">
        <v>100</v>
      </c>
      <c r="B6" s="6" t="n">
        <v>4</v>
      </c>
    </row>
    <row r="7" customFormat="false" ht="15" hidden="false" customHeight="false" outlineLevel="0" collapsed="false">
      <c r="A7" s="5" t="s">
        <v>5</v>
      </c>
      <c r="B7" s="6" t="n">
        <v>4</v>
      </c>
    </row>
    <row r="8" customFormat="false" ht="15" hidden="false" customHeight="false" outlineLevel="0" collapsed="false">
      <c r="A8" s="5" t="s">
        <v>6</v>
      </c>
      <c r="B8" s="6" t="n">
        <v>20</v>
      </c>
    </row>
    <row r="9" customFormat="false" ht="15" hidden="false" customHeight="false" outlineLevel="0" collapsed="false">
      <c r="A9" s="5" t="s">
        <v>7</v>
      </c>
      <c r="B9" s="5" t="s">
        <v>101</v>
      </c>
    </row>
    <row r="10" customFormat="false" ht="15" hidden="false" customHeight="false" outlineLevel="0" collapsed="false">
      <c r="A10" s="5" t="s">
        <v>9</v>
      </c>
      <c r="B10" s="5" t="s">
        <v>102</v>
      </c>
    </row>
    <row r="11" customFormat="false" ht="15" hidden="false" customHeight="false" outlineLevel="0" collapsed="false">
      <c r="A11" s="5" t="s">
        <v>11</v>
      </c>
      <c r="B11" s="5" t="s">
        <v>103</v>
      </c>
    </row>
    <row r="13" customFormat="false" ht="15" hidden="false" customHeight="false" outlineLevel="0" collapsed="false">
      <c r="A13" s="3" t="s">
        <v>13</v>
      </c>
      <c r="B13" s="4"/>
      <c r="C13" s="4"/>
      <c r="D13" s="4"/>
      <c r="E13" s="4"/>
      <c r="F13" s="4"/>
    </row>
    <row r="14" customFormat="false" ht="26.85" hidden="false" customHeight="false" outlineLevel="0" collapsed="false">
      <c r="A14" s="7" t="s">
        <v>14</v>
      </c>
      <c r="B14" s="7" t="s">
        <v>15</v>
      </c>
      <c r="C14" s="7" t="s">
        <v>16</v>
      </c>
      <c r="D14" s="7" t="s">
        <v>17</v>
      </c>
      <c r="E14" s="7" t="s">
        <v>18</v>
      </c>
      <c r="F14" s="7" t="s">
        <v>19</v>
      </c>
    </row>
    <row r="15" customFormat="false" ht="15" hidden="false" customHeight="false" outlineLevel="0" collapsed="false">
      <c r="A15" s="8" t="s">
        <v>20</v>
      </c>
      <c r="B15" s="8" t="s">
        <v>21</v>
      </c>
      <c r="C15" s="9" t="n">
        <v>4</v>
      </c>
      <c r="D15" s="10" t="n">
        <v>955</v>
      </c>
      <c r="E15" s="10" t="n">
        <f aca="false">C15*D15</f>
        <v>3820</v>
      </c>
      <c r="F15" s="11" t="n">
        <f aca="false">E15/$B$8</f>
        <v>191</v>
      </c>
    </row>
    <row r="16" customFormat="false" ht="15" hidden="false" customHeight="false" outlineLevel="0" collapsed="false">
      <c r="A16" s="8" t="s">
        <v>22</v>
      </c>
      <c r="B16" s="8" t="s">
        <v>23</v>
      </c>
      <c r="C16" s="9" t="n">
        <v>12</v>
      </c>
      <c r="D16" s="10" t="n">
        <v>60</v>
      </c>
      <c r="E16" s="10" t="n">
        <f aca="false">C16*D16</f>
        <v>720</v>
      </c>
      <c r="F16" s="11" t="n">
        <f aca="false">E16/$B$8</f>
        <v>36</v>
      </c>
    </row>
    <row r="17" customFormat="false" ht="15" hidden="false" customHeight="false" outlineLevel="0" collapsed="false">
      <c r="A17" s="8" t="s">
        <v>24</v>
      </c>
      <c r="B17" s="8" t="s">
        <v>25</v>
      </c>
      <c r="C17" s="9" t="n">
        <v>4</v>
      </c>
      <c r="D17" s="10" t="n">
        <v>80</v>
      </c>
      <c r="E17" s="10" t="n">
        <f aca="false">C17*D17</f>
        <v>320</v>
      </c>
      <c r="F17" s="11" t="n">
        <f aca="false">E17/$B$8</f>
        <v>16</v>
      </c>
    </row>
    <row r="18" customFormat="false" ht="15" hidden="false" customHeight="false" outlineLevel="0" collapsed="false">
      <c r="A18" s="8" t="s">
        <v>26</v>
      </c>
      <c r="B18" s="8" t="s">
        <v>27</v>
      </c>
      <c r="C18" s="9" t="n">
        <v>4</v>
      </c>
      <c r="D18" s="10" t="n">
        <v>150</v>
      </c>
      <c r="E18" s="10" t="n">
        <f aca="false">C18*D18</f>
        <v>600</v>
      </c>
      <c r="F18" s="11" t="n">
        <f aca="false">E18/$B$8</f>
        <v>30</v>
      </c>
    </row>
    <row r="19" customFormat="false" ht="15" hidden="false" customHeight="false" outlineLevel="0" collapsed="false">
      <c r="A19" s="8" t="s">
        <v>28</v>
      </c>
      <c r="B19" s="8" t="s">
        <v>29</v>
      </c>
      <c r="C19" s="9" t="n">
        <v>4</v>
      </c>
      <c r="D19" s="10" t="n">
        <v>200</v>
      </c>
      <c r="E19" s="10" t="n">
        <f aca="false">C19*D19</f>
        <v>800</v>
      </c>
      <c r="F19" s="11" t="n">
        <f aca="false">E19/$B$8</f>
        <v>40</v>
      </c>
    </row>
    <row r="20" customFormat="false" ht="15" hidden="false" customHeight="false" outlineLevel="0" collapsed="false">
      <c r="A20" s="8" t="s">
        <v>30</v>
      </c>
      <c r="B20" s="8" t="s">
        <v>31</v>
      </c>
      <c r="C20" s="9" t="n">
        <v>4</v>
      </c>
      <c r="D20" s="10" t="n">
        <v>250</v>
      </c>
      <c r="E20" s="10" t="n">
        <f aca="false">C20*D20</f>
        <v>1000</v>
      </c>
      <c r="F20" s="11" t="n">
        <f aca="false">E20/$B$8</f>
        <v>50</v>
      </c>
    </row>
    <row r="21" customFormat="false" ht="15" hidden="false" customHeight="false" outlineLevel="0" collapsed="false">
      <c r="A21" s="8" t="s">
        <v>32</v>
      </c>
      <c r="B21" s="8" t="s">
        <v>33</v>
      </c>
      <c r="C21" s="9" t="n">
        <v>1</v>
      </c>
      <c r="D21" s="10" t="n">
        <v>5000</v>
      </c>
      <c r="E21" s="10" t="n">
        <f aca="false">C21*D21</f>
        <v>5000</v>
      </c>
      <c r="F21" s="11" t="n">
        <f aca="false">E21/$B$8</f>
        <v>250</v>
      </c>
    </row>
    <row r="22" customFormat="false" ht="15" hidden="false" customHeight="false" outlineLevel="0" collapsed="false">
      <c r="A22" s="8" t="s">
        <v>34</v>
      </c>
      <c r="B22" s="8" t="s">
        <v>35</v>
      </c>
      <c r="C22" s="9" t="n">
        <v>1</v>
      </c>
      <c r="D22" s="10" t="n">
        <v>1500</v>
      </c>
      <c r="E22" s="10" t="n">
        <f aca="false">C22*D22</f>
        <v>1500</v>
      </c>
      <c r="F22" s="11" t="n">
        <f aca="false">E22/$B$8</f>
        <v>75</v>
      </c>
    </row>
    <row r="23" customFormat="false" ht="15" hidden="false" customHeight="false" outlineLevel="0" collapsed="false">
      <c r="A23" s="12" t="s">
        <v>36</v>
      </c>
      <c r="B23" s="12"/>
      <c r="C23" s="13"/>
      <c r="D23" s="13"/>
      <c r="E23" s="14" t="n">
        <f aca="false">SUM(E15:E22)</f>
        <v>13760</v>
      </c>
      <c r="F23" s="15" t="n">
        <f aca="false">E23/$B$8</f>
        <v>688</v>
      </c>
    </row>
    <row r="25" customFormat="false" ht="15" hidden="false" customHeight="false" outlineLevel="0" collapsed="false">
      <c r="A25" s="3" t="s">
        <v>37</v>
      </c>
      <c r="B25" s="4"/>
      <c r="C25" s="4"/>
      <c r="D25" s="4"/>
      <c r="E25" s="4"/>
      <c r="F25" s="4"/>
    </row>
    <row r="26" customFormat="false" ht="26.85" hidden="false" customHeight="false" outlineLevel="0" collapsed="false">
      <c r="A26" s="7" t="s">
        <v>14</v>
      </c>
      <c r="B26" s="7" t="s">
        <v>15</v>
      </c>
      <c r="C26" s="7" t="s">
        <v>38</v>
      </c>
      <c r="D26" s="7" t="s">
        <v>39</v>
      </c>
      <c r="E26" s="7" t="s">
        <v>18</v>
      </c>
      <c r="F26" s="7" t="s">
        <v>19</v>
      </c>
    </row>
    <row r="27" customFormat="false" ht="15" hidden="false" customHeight="false" outlineLevel="0" collapsed="false">
      <c r="A27" s="8" t="s">
        <v>104</v>
      </c>
      <c r="B27" s="8" t="s">
        <v>41</v>
      </c>
      <c r="C27" s="9" t="n">
        <v>18</v>
      </c>
      <c r="D27" s="10" t="n">
        <v>120</v>
      </c>
      <c r="E27" s="10" t="n">
        <f aca="false">C27*D27</f>
        <v>2160</v>
      </c>
      <c r="F27" s="11" t="n">
        <f aca="false">E27/$B$8</f>
        <v>108</v>
      </c>
    </row>
    <row r="28" customFormat="false" ht="15" hidden="false" customHeight="false" outlineLevel="0" collapsed="false">
      <c r="A28" s="8" t="s">
        <v>105</v>
      </c>
      <c r="B28" s="8" t="s">
        <v>106</v>
      </c>
      <c r="C28" s="9" t="n">
        <v>18</v>
      </c>
      <c r="D28" s="10" t="n">
        <v>80</v>
      </c>
      <c r="E28" s="10" t="n">
        <f aca="false">C28*D28</f>
        <v>1440</v>
      </c>
      <c r="F28" s="11" t="n">
        <f aca="false">E28/$B$8</f>
        <v>72</v>
      </c>
    </row>
    <row r="29" customFormat="false" ht="15" hidden="false" customHeight="false" outlineLevel="0" collapsed="false">
      <c r="A29" s="8" t="s">
        <v>44</v>
      </c>
      <c r="B29" s="8" t="s">
        <v>107</v>
      </c>
      <c r="C29" s="9" t="n">
        <v>18</v>
      </c>
      <c r="D29" s="10" t="n">
        <v>15</v>
      </c>
      <c r="E29" s="10" t="n">
        <f aca="false">C29*D29</f>
        <v>270</v>
      </c>
      <c r="F29" s="11" t="n">
        <f aca="false">E29/$B$8</f>
        <v>13.5</v>
      </c>
    </row>
    <row r="30" customFormat="false" ht="15" hidden="false" customHeight="false" outlineLevel="0" collapsed="false">
      <c r="A30" s="8" t="s">
        <v>108</v>
      </c>
      <c r="B30" s="8" t="s">
        <v>109</v>
      </c>
      <c r="C30" s="9" t="n">
        <v>18</v>
      </c>
      <c r="D30" s="10" t="n">
        <v>10</v>
      </c>
      <c r="E30" s="10" t="n">
        <f aca="false">C30*D30</f>
        <v>180</v>
      </c>
      <c r="F30" s="11" t="n">
        <f aca="false">E30/$B$8</f>
        <v>9</v>
      </c>
    </row>
    <row r="31" customFormat="false" ht="15" hidden="false" customHeight="false" outlineLevel="0" collapsed="false">
      <c r="A31" s="12" t="s">
        <v>48</v>
      </c>
      <c r="B31" s="12"/>
      <c r="C31" s="13"/>
      <c r="D31" s="13"/>
      <c r="E31" s="14" t="n">
        <f aca="false">SUM(E27:E30)</f>
        <v>4050</v>
      </c>
      <c r="F31" s="15" t="n">
        <f aca="false">E31/$B$8</f>
        <v>202.5</v>
      </c>
    </row>
    <row r="33" customFormat="false" ht="15" hidden="false" customHeight="false" outlineLevel="0" collapsed="false">
      <c r="A33" s="3" t="s">
        <v>49</v>
      </c>
      <c r="B33" s="4"/>
      <c r="C33" s="4"/>
      <c r="D33" s="4"/>
      <c r="E33" s="4"/>
      <c r="F33" s="4"/>
    </row>
    <row r="34" customFormat="false" ht="26.85" hidden="false" customHeight="false" outlineLevel="0" collapsed="false">
      <c r="A34" s="7" t="s">
        <v>50</v>
      </c>
      <c r="B34" s="7" t="s">
        <v>15</v>
      </c>
      <c r="C34" s="7" t="s">
        <v>51</v>
      </c>
      <c r="D34" s="7" t="s">
        <v>52</v>
      </c>
      <c r="E34" s="7" t="s">
        <v>18</v>
      </c>
      <c r="F34" s="7" t="s">
        <v>19</v>
      </c>
    </row>
    <row r="35" customFormat="false" ht="15" hidden="false" customHeight="false" outlineLevel="0" collapsed="false">
      <c r="A35" s="8" t="s">
        <v>53</v>
      </c>
      <c r="B35" s="8" t="s">
        <v>110</v>
      </c>
      <c r="C35" s="9" t="n">
        <v>168</v>
      </c>
      <c r="D35" s="10" t="n">
        <v>180</v>
      </c>
      <c r="E35" s="10" t="n">
        <f aca="false">C35*D35</f>
        <v>30240</v>
      </c>
      <c r="F35" s="11" t="n">
        <f aca="false">E35/$B$8</f>
        <v>1512</v>
      </c>
    </row>
    <row r="36" customFormat="false" ht="15" hidden="false" customHeight="false" outlineLevel="0" collapsed="false">
      <c r="A36" s="8" t="s">
        <v>55</v>
      </c>
      <c r="B36" s="8" t="s">
        <v>111</v>
      </c>
      <c r="C36" s="9" t="n">
        <v>144</v>
      </c>
      <c r="D36" s="10" t="n">
        <v>100</v>
      </c>
      <c r="E36" s="10" t="n">
        <f aca="false">C36*D36</f>
        <v>14400</v>
      </c>
      <c r="F36" s="11" t="n">
        <f aca="false">E36/$B$8</f>
        <v>720</v>
      </c>
    </row>
    <row r="37" customFormat="false" ht="15" hidden="false" customHeight="false" outlineLevel="0" collapsed="false">
      <c r="A37" s="8" t="s">
        <v>57</v>
      </c>
      <c r="B37" s="8" t="s">
        <v>58</v>
      </c>
      <c r="C37" s="9" t="n">
        <v>144</v>
      </c>
      <c r="D37" s="10" t="n">
        <v>120</v>
      </c>
      <c r="E37" s="10" t="n">
        <f aca="false">C37*D37</f>
        <v>17280</v>
      </c>
      <c r="F37" s="11" t="n">
        <f aca="false">E37/$B$8</f>
        <v>864</v>
      </c>
    </row>
    <row r="38" customFormat="false" ht="15" hidden="false" customHeight="false" outlineLevel="0" collapsed="false">
      <c r="A38" s="8" t="s">
        <v>59</v>
      </c>
      <c r="B38" s="8" t="s">
        <v>60</v>
      </c>
      <c r="C38" s="9" t="n">
        <v>144</v>
      </c>
      <c r="D38" s="10" t="n">
        <v>120</v>
      </c>
      <c r="E38" s="10" t="n">
        <f aca="false">C38*D38</f>
        <v>17280</v>
      </c>
      <c r="F38" s="11" t="n">
        <f aca="false">E38/$B$8</f>
        <v>864</v>
      </c>
    </row>
    <row r="39" customFormat="false" ht="15" hidden="false" customHeight="false" outlineLevel="0" collapsed="false">
      <c r="A39" s="8" t="s">
        <v>61</v>
      </c>
      <c r="B39" s="8" t="s">
        <v>112</v>
      </c>
      <c r="C39" s="9" t="n">
        <v>144</v>
      </c>
      <c r="D39" s="10" t="n">
        <v>130</v>
      </c>
      <c r="E39" s="10" t="n">
        <f aca="false">C39*D39</f>
        <v>18720</v>
      </c>
      <c r="F39" s="11" t="n">
        <f aca="false">E39/$B$8</f>
        <v>936</v>
      </c>
    </row>
    <row r="40" customFormat="false" ht="15" hidden="false" customHeight="false" outlineLevel="0" collapsed="false">
      <c r="A40" s="8" t="s">
        <v>63</v>
      </c>
      <c r="B40" s="8" t="s">
        <v>113</v>
      </c>
      <c r="C40" s="9" t="n">
        <v>24</v>
      </c>
      <c r="D40" s="10" t="n">
        <v>1200</v>
      </c>
      <c r="E40" s="10" t="n">
        <f aca="false">C40*D40</f>
        <v>28800</v>
      </c>
      <c r="F40" s="11" t="n">
        <f aca="false">E40/$B$8</f>
        <v>1440</v>
      </c>
    </row>
    <row r="41" customFormat="false" ht="15" hidden="false" customHeight="false" outlineLevel="0" collapsed="false">
      <c r="A41" s="8" t="s">
        <v>65</v>
      </c>
      <c r="B41" s="8" t="s">
        <v>114</v>
      </c>
      <c r="C41" s="9" t="n">
        <v>24</v>
      </c>
      <c r="D41" s="10" t="n">
        <v>800</v>
      </c>
      <c r="E41" s="10" t="n">
        <f aca="false">C41*D41</f>
        <v>19200</v>
      </c>
      <c r="F41" s="11" t="n">
        <f aca="false">E41/$B$8</f>
        <v>960</v>
      </c>
    </row>
    <row r="42" customFormat="false" ht="15" hidden="false" customHeight="false" outlineLevel="0" collapsed="false">
      <c r="A42" s="8" t="s">
        <v>67</v>
      </c>
      <c r="B42" s="8" t="s">
        <v>68</v>
      </c>
      <c r="C42" s="9" t="n">
        <v>24</v>
      </c>
      <c r="D42" s="10" t="n">
        <v>400</v>
      </c>
      <c r="E42" s="10" t="n">
        <f aca="false">C42*D42</f>
        <v>9600</v>
      </c>
      <c r="F42" s="11" t="n">
        <f aca="false">E42/$B$8</f>
        <v>480</v>
      </c>
    </row>
    <row r="43" customFormat="false" ht="15" hidden="false" customHeight="false" outlineLevel="0" collapsed="false">
      <c r="A43" s="12" t="s">
        <v>69</v>
      </c>
      <c r="B43" s="12"/>
      <c r="C43" s="13"/>
      <c r="D43" s="13"/>
      <c r="E43" s="14" t="n">
        <f aca="false">SUM(E35:E42)</f>
        <v>155520</v>
      </c>
      <c r="F43" s="15" t="n">
        <f aca="false">E43/$B$8</f>
        <v>7776</v>
      </c>
    </row>
    <row r="45" customFormat="false" ht="15" hidden="false" customHeight="false" outlineLevel="0" collapsed="false">
      <c r="A45" s="3" t="s">
        <v>115</v>
      </c>
      <c r="B45" s="4"/>
      <c r="C45" s="4"/>
      <c r="D45" s="4"/>
      <c r="E45" s="4"/>
      <c r="F45" s="4"/>
    </row>
    <row r="46" customFormat="false" ht="26.85" hidden="false" customHeight="false" outlineLevel="0" collapsed="false">
      <c r="A46" s="7" t="s">
        <v>50</v>
      </c>
      <c r="B46" s="7" t="s">
        <v>15</v>
      </c>
      <c r="C46" s="7" t="s">
        <v>51</v>
      </c>
      <c r="D46" s="7" t="s">
        <v>52</v>
      </c>
      <c r="E46" s="7" t="s">
        <v>18</v>
      </c>
      <c r="F46" s="7" t="s">
        <v>19</v>
      </c>
    </row>
    <row r="47" customFormat="false" ht="15" hidden="false" customHeight="false" outlineLevel="0" collapsed="false">
      <c r="A47" s="8" t="s">
        <v>71</v>
      </c>
      <c r="B47" s="8" t="s">
        <v>116</v>
      </c>
      <c r="C47" s="9" t="n">
        <v>144</v>
      </c>
      <c r="D47" s="10" t="n">
        <v>150</v>
      </c>
      <c r="E47" s="10" t="n">
        <f aca="false">C47*D47</f>
        <v>21600</v>
      </c>
      <c r="F47" s="11" t="n">
        <f aca="false">E47/$B$8</f>
        <v>1080</v>
      </c>
    </row>
    <row r="48" customFormat="false" ht="15" hidden="false" customHeight="false" outlineLevel="0" collapsed="false">
      <c r="A48" s="8" t="s">
        <v>75</v>
      </c>
      <c r="B48" s="8" t="s">
        <v>117</v>
      </c>
      <c r="C48" s="9" t="n">
        <v>12</v>
      </c>
      <c r="D48" s="10" t="n">
        <v>600</v>
      </c>
      <c r="E48" s="10" t="n">
        <f aca="false">C48*D48</f>
        <v>7200</v>
      </c>
      <c r="F48" s="11" t="n">
        <f aca="false">E48/$B$8</f>
        <v>360</v>
      </c>
    </row>
    <row r="49" customFormat="false" ht="15" hidden="false" customHeight="false" outlineLevel="0" collapsed="false">
      <c r="A49" s="8" t="s">
        <v>77</v>
      </c>
      <c r="B49" s="8" t="s">
        <v>118</v>
      </c>
      <c r="C49" s="9" t="n">
        <v>4</v>
      </c>
      <c r="D49" s="10" t="n">
        <v>300</v>
      </c>
      <c r="E49" s="10" t="n">
        <f aca="false">C49*D49</f>
        <v>1200</v>
      </c>
      <c r="F49" s="11" t="n">
        <f aca="false">E49/$B$8</f>
        <v>60</v>
      </c>
    </row>
    <row r="50" customFormat="false" ht="15" hidden="false" customHeight="false" outlineLevel="0" collapsed="false">
      <c r="A50" s="8" t="s">
        <v>79</v>
      </c>
      <c r="B50" s="8" t="s">
        <v>119</v>
      </c>
      <c r="C50" s="9" t="n">
        <v>4</v>
      </c>
      <c r="D50" s="10" t="n">
        <v>150</v>
      </c>
      <c r="E50" s="10" t="n">
        <f aca="false">C50*D50</f>
        <v>600</v>
      </c>
      <c r="F50" s="11" t="n">
        <f aca="false">E50/$B$8</f>
        <v>30</v>
      </c>
    </row>
    <row r="51" customFormat="false" ht="15" hidden="false" customHeight="false" outlineLevel="0" collapsed="false">
      <c r="A51" s="8" t="s">
        <v>81</v>
      </c>
      <c r="B51" s="8" t="s">
        <v>120</v>
      </c>
      <c r="C51" s="9" t="n">
        <v>24</v>
      </c>
      <c r="D51" s="10" t="n">
        <v>50</v>
      </c>
      <c r="E51" s="10" t="n">
        <f aca="false">C51*D51</f>
        <v>1200</v>
      </c>
      <c r="F51" s="11" t="n">
        <f aca="false">E51/$B$8</f>
        <v>60</v>
      </c>
    </row>
    <row r="52" customFormat="false" ht="15" hidden="false" customHeight="false" outlineLevel="0" collapsed="false">
      <c r="A52" s="12" t="s">
        <v>83</v>
      </c>
      <c r="B52" s="12"/>
      <c r="C52" s="13"/>
      <c r="D52" s="13"/>
      <c r="E52" s="14" t="n">
        <f aca="false">SUM(E47:E51)</f>
        <v>31800</v>
      </c>
      <c r="F52" s="15" t="n">
        <f aca="false">E52/$B$8</f>
        <v>1590</v>
      </c>
    </row>
    <row r="54" customFormat="false" ht="15" hidden="false" customHeight="false" outlineLevel="0" collapsed="false">
      <c r="A54" s="3" t="s">
        <v>121</v>
      </c>
      <c r="B54" s="4"/>
      <c r="C54" s="4"/>
      <c r="D54" s="4"/>
      <c r="E54" s="4"/>
      <c r="F54" s="4"/>
    </row>
    <row r="55" customFormat="false" ht="15" hidden="false" customHeight="false" outlineLevel="0" collapsed="false">
      <c r="A55" s="8" t="s">
        <v>85</v>
      </c>
      <c r="B55" s="8"/>
      <c r="C55" s="9"/>
      <c r="D55" s="9"/>
      <c r="E55" s="10" t="n">
        <f aca="false">E23</f>
        <v>13760</v>
      </c>
      <c r="F55" s="11" t="n">
        <f aca="false">E55/$B$8</f>
        <v>688</v>
      </c>
    </row>
    <row r="56" customFormat="false" ht="15" hidden="false" customHeight="false" outlineLevel="0" collapsed="false">
      <c r="A56" s="8" t="s">
        <v>86</v>
      </c>
      <c r="B56" s="8"/>
      <c r="C56" s="9"/>
      <c r="D56" s="9"/>
      <c r="E56" s="10" t="n">
        <f aca="false">E31</f>
        <v>4050</v>
      </c>
      <c r="F56" s="11" t="n">
        <f aca="false">E56/$B$8</f>
        <v>202.5</v>
      </c>
    </row>
    <row r="57" customFormat="false" ht="15" hidden="false" customHeight="false" outlineLevel="0" collapsed="false">
      <c r="A57" s="8" t="s">
        <v>87</v>
      </c>
      <c r="B57" s="8"/>
      <c r="C57" s="9"/>
      <c r="D57" s="9"/>
      <c r="E57" s="10" t="n">
        <f aca="false">E43</f>
        <v>155520</v>
      </c>
      <c r="F57" s="11" t="n">
        <f aca="false">E57/$B$8</f>
        <v>7776</v>
      </c>
    </row>
    <row r="58" customFormat="false" ht="15" hidden="false" customHeight="false" outlineLevel="0" collapsed="false">
      <c r="A58" s="8" t="s">
        <v>88</v>
      </c>
      <c r="B58" s="8"/>
      <c r="C58" s="9"/>
      <c r="D58" s="9"/>
      <c r="E58" s="10" t="n">
        <f aca="false">E52</f>
        <v>31800</v>
      </c>
      <c r="F58" s="11" t="n">
        <f aca="false">E58/$B$8</f>
        <v>1590</v>
      </c>
    </row>
    <row r="59" customFormat="false" ht="15" hidden="false" customHeight="false" outlineLevel="0" collapsed="false">
      <c r="A59" s="16" t="s">
        <v>89</v>
      </c>
      <c r="B59" s="17"/>
      <c r="C59" s="18"/>
      <c r="D59" s="18"/>
      <c r="E59" s="19" t="n">
        <f aca="false">E55+E56+E57+E58</f>
        <v>205130</v>
      </c>
      <c r="F59" s="20" t="n">
        <f aca="false">E59/$B$8</f>
        <v>10256.5</v>
      </c>
    </row>
    <row r="61" customFormat="false" ht="15" hidden="false" customHeight="false" outlineLevel="0" collapsed="false">
      <c r="A61" s="8" t="s">
        <v>122</v>
      </c>
      <c r="B61" s="8"/>
      <c r="C61" s="9"/>
      <c r="D61" s="9"/>
      <c r="E61" s="10" t="n">
        <f aca="false">'Opción Completa'!E60-E59</f>
        <v>277000</v>
      </c>
      <c r="F61" s="11" t="n">
        <f aca="false">E61/$B$8</f>
        <v>13850</v>
      </c>
    </row>
    <row r="63" customFormat="false" ht="15" hidden="false" customHeight="false" outlineLevel="0" collapsed="false">
      <c r="A63" s="21" t="s">
        <v>90</v>
      </c>
    </row>
    <row r="64" customFormat="false" ht="15" hidden="false" customHeight="false" outlineLevel="0" collapsed="false">
      <c r="A64" s="22" t="s">
        <v>123</v>
      </c>
      <c r="B64" s="22"/>
      <c r="C64" s="22"/>
      <c r="D64" s="22"/>
      <c r="E64" s="22"/>
      <c r="F64" s="22"/>
    </row>
    <row r="65" customFormat="false" ht="15" hidden="false" customHeight="false" outlineLevel="0" collapsed="false">
      <c r="A65" s="22" t="s">
        <v>124</v>
      </c>
      <c r="B65" s="22"/>
      <c r="C65" s="22"/>
      <c r="D65" s="22"/>
      <c r="E65" s="22"/>
      <c r="F65" s="22"/>
    </row>
    <row r="66" customFormat="false" ht="15" hidden="false" customHeight="false" outlineLevel="0" collapsed="false">
      <c r="A66" s="22" t="s">
        <v>125</v>
      </c>
      <c r="B66" s="22"/>
      <c r="C66" s="22"/>
      <c r="D66" s="22"/>
      <c r="E66" s="22"/>
      <c r="F66" s="22"/>
    </row>
    <row r="67" customFormat="false" ht="15" hidden="false" customHeight="false" outlineLevel="0" collapsed="false">
      <c r="A67" s="22" t="s">
        <v>126</v>
      </c>
      <c r="B67" s="22"/>
      <c r="C67" s="22"/>
      <c r="D67" s="22"/>
      <c r="E67" s="22"/>
      <c r="F67" s="22"/>
    </row>
    <row r="68" customFormat="false" ht="15" hidden="false" customHeight="false" outlineLevel="0" collapsed="false">
      <c r="A68" s="22" t="s">
        <v>127</v>
      </c>
      <c r="B68" s="22"/>
      <c r="C68" s="22"/>
      <c r="D68" s="22"/>
      <c r="E68" s="22"/>
      <c r="F68" s="22"/>
    </row>
    <row r="69" customFormat="false" ht="15" hidden="false" customHeight="false" outlineLevel="0" collapsed="false">
      <c r="A69" s="22" t="s">
        <v>128</v>
      </c>
      <c r="B69" s="22"/>
      <c r="C69" s="22"/>
      <c r="D69" s="22"/>
      <c r="E69" s="22"/>
      <c r="F69" s="22"/>
    </row>
    <row r="70" customFormat="false" ht="15" hidden="false" customHeight="false" outlineLevel="0" collapsed="false">
      <c r="A70" s="22" t="s">
        <v>129</v>
      </c>
      <c r="B70" s="22"/>
      <c r="C70" s="22"/>
      <c r="D70" s="22"/>
      <c r="E70" s="22"/>
      <c r="F70" s="22"/>
    </row>
  </sheetData>
  <mergeCells count="9">
    <mergeCell ref="A1:F1"/>
    <mergeCell ref="A2:F2"/>
    <mergeCell ref="A64:F64"/>
    <mergeCell ref="A65:F65"/>
    <mergeCell ref="A66:F66"/>
    <mergeCell ref="A67:F67"/>
    <mergeCell ref="A68:F68"/>
    <mergeCell ref="A69:F69"/>
    <mergeCell ref="A70:F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2B788"/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2"/>
  </cols>
  <sheetData>
    <row r="1" customFormat="false" ht="17.35" hidden="false" customHeight="false" outlineLevel="0" collapsed="false">
      <c r="A1" s="1" t="s">
        <v>130</v>
      </c>
      <c r="B1" s="1"/>
      <c r="C1" s="1"/>
      <c r="D1" s="1"/>
    </row>
    <row r="3" customFormat="false" ht="15" hidden="false" customHeight="false" outlineLevel="0" collapsed="false">
      <c r="A3" s="3" t="s">
        <v>131</v>
      </c>
      <c r="B3" s="4"/>
      <c r="C3" s="4"/>
      <c r="D3" s="4"/>
    </row>
    <row r="4" customFormat="false" ht="15" hidden="false" customHeight="false" outlineLevel="0" collapsed="false">
      <c r="A4" s="7" t="s">
        <v>132</v>
      </c>
      <c r="B4" s="7" t="s">
        <v>133</v>
      </c>
      <c r="C4" s="7" t="s">
        <v>134</v>
      </c>
      <c r="D4" s="7" t="s">
        <v>135</v>
      </c>
    </row>
    <row r="5" customFormat="false" ht="15" hidden="false" customHeight="false" outlineLevel="0" collapsed="false">
      <c r="A5" s="8" t="s">
        <v>136</v>
      </c>
      <c r="B5" s="8" t="s">
        <v>137</v>
      </c>
      <c r="C5" s="9" t="s">
        <v>138</v>
      </c>
      <c r="D5" s="9"/>
    </row>
    <row r="6" customFormat="false" ht="15" hidden="false" customHeight="false" outlineLevel="0" collapsed="false">
      <c r="A6" s="8" t="s">
        <v>7</v>
      </c>
      <c r="B6" s="8" t="s">
        <v>139</v>
      </c>
      <c r="C6" s="9" t="s">
        <v>140</v>
      </c>
      <c r="D6" s="9"/>
    </row>
    <row r="7" customFormat="false" ht="15" hidden="false" customHeight="false" outlineLevel="0" collapsed="false">
      <c r="A7" s="8" t="s">
        <v>141</v>
      </c>
      <c r="B7" s="8" t="s">
        <v>142</v>
      </c>
      <c r="C7" s="9" t="s">
        <v>143</v>
      </c>
      <c r="D7" s="9"/>
    </row>
    <row r="8" customFormat="false" ht="15" hidden="false" customHeight="false" outlineLevel="0" collapsed="false">
      <c r="A8" s="8" t="s">
        <v>144</v>
      </c>
      <c r="B8" s="8" t="s">
        <v>145</v>
      </c>
      <c r="C8" s="9" t="s">
        <v>146</v>
      </c>
      <c r="D8" s="9"/>
    </row>
    <row r="9" customFormat="false" ht="15" hidden="false" customHeight="false" outlineLevel="0" collapsed="false">
      <c r="A9" s="8" t="s">
        <v>147</v>
      </c>
      <c r="B9" s="8" t="s">
        <v>148</v>
      </c>
      <c r="C9" s="9" t="s">
        <v>149</v>
      </c>
      <c r="D9" s="9"/>
    </row>
    <row r="10" customFormat="false" ht="15" hidden="false" customHeight="false" outlineLevel="0" collapsed="false">
      <c r="A10" s="8" t="s">
        <v>150</v>
      </c>
      <c r="B10" s="8" t="s">
        <v>151</v>
      </c>
      <c r="C10" s="9" t="s">
        <v>152</v>
      </c>
      <c r="D10" s="9"/>
    </row>
    <row r="11" customFormat="false" ht="15" hidden="false" customHeight="false" outlineLevel="0" collapsed="false">
      <c r="A11" s="17" t="s">
        <v>153</v>
      </c>
      <c r="B11" s="23" t="n">
        <f aca="false">'Opción Completa'!E60</f>
        <v>482130</v>
      </c>
      <c r="C11" s="19" t="n">
        <f aca="false">'Opción Económica'!E59</f>
        <v>205130</v>
      </c>
      <c r="D11" s="19" t="n">
        <f aca="false">B11-C11</f>
        <v>277000</v>
      </c>
    </row>
    <row r="12" customFormat="false" ht="15" hidden="false" customHeight="false" outlineLevel="0" collapsed="false">
      <c r="A12" s="17" t="s">
        <v>154</v>
      </c>
      <c r="B12" s="24" t="n">
        <f aca="false">B11/20</f>
        <v>24106.5</v>
      </c>
      <c r="C12" s="20" t="n">
        <f aca="false">C11/20</f>
        <v>10256.5</v>
      </c>
      <c r="D12" s="20" t="n">
        <f aca="false">B12-C12</f>
        <v>13850</v>
      </c>
    </row>
    <row r="15" customFormat="false" ht="15" hidden="false" customHeight="false" outlineLevel="0" collapsed="false">
      <c r="A15" s="3" t="s">
        <v>155</v>
      </c>
      <c r="B15" s="4"/>
      <c r="C15" s="4"/>
      <c r="D15" s="4"/>
    </row>
    <row r="16" customFormat="false" ht="15" hidden="false" customHeight="false" outlineLevel="0" collapsed="false">
      <c r="A16" s="7" t="s">
        <v>132</v>
      </c>
      <c r="B16" s="7" t="s">
        <v>156</v>
      </c>
      <c r="C16" s="7" t="s">
        <v>157</v>
      </c>
      <c r="D16" s="7" t="s">
        <v>158</v>
      </c>
    </row>
    <row r="17" customFormat="false" ht="15" hidden="false" customHeight="false" outlineLevel="0" collapsed="false">
      <c r="A17" s="8" t="s">
        <v>159</v>
      </c>
      <c r="B17" s="8" t="s">
        <v>160</v>
      </c>
      <c r="C17" s="9" t="s">
        <v>160</v>
      </c>
      <c r="D17" s="9" t="s">
        <v>161</v>
      </c>
    </row>
    <row r="18" customFormat="false" ht="15" hidden="false" customHeight="false" outlineLevel="0" collapsed="false">
      <c r="A18" s="8" t="s">
        <v>162</v>
      </c>
      <c r="B18" s="8" t="s">
        <v>163</v>
      </c>
      <c r="C18" s="9" t="s">
        <v>163</v>
      </c>
      <c r="D18" s="9" t="s">
        <v>164</v>
      </c>
    </row>
    <row r="19" customFormat="false" ht="15" hidden="false" customHeight="false" outlineLevel="0" collapsed="false">
      <c r="A19" s="8" t="s">
        <v>165</v>
      </c>
      <c r="B19" s="8" t="s">
        <v>166</v>
      </c>
      <c r="C19" s="9" t="s">
        <v>167</v>
      </c>
      <c r="D19" s="9" t="s">
        <v>168</v>
      </c>
    </row>
    <row r="20" customFormat="false" ht="15" hidden="false" customHeight="false" outlineLevel="0" collapsed="false">
      <c r="A20" s="8" t="s">
        <v>169</v>
      </c>
      <c r="B20" s="8" t="s">
        <v>166</v>
      </c>
      <c r="C20" s="9" t="s">
        <v>163</v>
      </c>
      <c r="D20" s="9" t="s">
        <v>170</v>
      </c>
    </row>
    <row r="21" customFormat="false" ht="15" hidden="false" customHeight="false" outlineLevel="0" collapsed="false">
      <c r="A21" s="8" t="s">
        <v>171</v>
      </c>
      <c r="B21" s="8" t="s">
        <v>172</v>
      </c>
      <c r="C21" s="9" t="s">
        <v>173</v>
      </c>
      <c r="D21" s="9" t="s">
        <v>174</v>
      </c>
    </row>
    <row r="22" customFormat="false" ht="15" hidden="false" customHeight="false" outlineLevel="0" collapsed="false">
      <c r="A22" s="8" t="s">
        <v>175</v>
      </c>
      <c r="B22" s="8" t="s">
        <v>176</v>
      </c>
      <c r="C22" s="9" t="s">
        <v>176</v>
      </c>
      <c r="D22" s="9" t="s">
        <v>177</v>
      </c>
    </row>
    <row r="23" customFormat="false" ht="15" hidden="false" customHeight="false" outlineLevel="0" collapsed="false">
      <c r="A23" s="17" t="s">
        <v>178</v>
      </c>
      <c r="B23" s="17" t="s">
        <v>179</v>
      </c>
      <c r="C23" s="18" t="s">
        <v>180</v>
      </c>
      <c r="D23" s="18" t="s">
        <v>181</v>
      </c>
    </row>
    <row r="25" customFormat="false" ht="15" hidden="false" customHeight="false" outlineLevel="0" collapsed="false">
      <c r="A25" s="25" t="s">
        <v>182</v>
      </c>
    </row>
    <row r="26" customFormat="false" ht="39.55" hidden="false" customHeight="false" outlineLevel="0" collapsed="false">
      <c r="A26" s="7" t="s">
        <v>183</v>
      </c>
      <c r="B26" s="7" t="s">
        <v>184</v>
      </c>
      <c r="C26" s="7" t="s">
        <v>185</v>
      </c>
      <c r="D26" s="7" t="s">
        <v>186</v>
      </c>
    </row>
    <row r="27" customFormat="false" ht="15" hidden="false" customHeight="false" outlineLevel="0" collapsed="false">
      <c r="A27" s="8" t="s">
        <v>187</v>
      </c>
      <c r="B27" s="26" t="n">
        <v>200000</v>
      </c>
      <c r="C27" s="10" t="n">
        <f aca="false">B27</f>
        <v>200000</v>
      </c>
      <c r="D27" s="10" t="n">
        <f aca="false">C27/1</f>
        <v>200000</v>
      </c>
    </row>
    <row r="28" customFormat="false" ht="15" hidden="false" customHeight="false" outlineLevel="0" collapsed="false">
      <c r="A28" s="8" t="s">
        <v>188</v>
      </c>
      <c r="B28" s="26" t="n">
        <v>35400</v>
      </c>
      <c r="C28" s="10" t="n">
        <f aca="false">C27+B28</f>
        <v>235400</v>
      </c>
      <c r="D28" s="10" t="n">
        <f aca="false">C28/2</f>
        <v>117700</v>
      </c>
    </row>
    <row r="29" customFormat="false" ht="15" hidden="false" customHeight="false" outlineLevel="0" collapsed="false">
      <c r="A29" s="8" t="s">
        <v>189</v>
      </c>
      <c r="B29" s="26" t="n">
        <v>35400</v>
      </c>
      <c r="C29" s="10" t="n">
        <f aca="false">C28+B29</f>
        <v>270800</v>
      </c>
      <c r="D29" s="10" t="n">
        <f aca="false">C29/3</f>
        <v>90266.6666666667</v>
      </c>
    </row>
    <row r="30" customFormat="false" ht="15" hidden="false" customHeight="false" outlineLevel="0" collapsed="false">
      <c r="A30" s="8" t="s">
        <v>190</v>
      </c>
      <c r="B30" s="26" t="n">
        <v>35400</v>
      </c>
      <c r="C30" s="10" t="n">
        <f aca="false">C29+B30</f>
        <v>306200</v>
      </c>
      <c r="D30" s="10" t="n">
        <f aca="false">C30/4</f>
        <v>76550</v>
      </c>
    </row>
    <row r="31" customFormat="false" ht="15" hidden="false" customHeight="false" outlineLevel="0" collapsed="false">
      <c r="A31" s="8" t="s">
        <v>191</v>
      </c>
      <c r="B31" s="26" t="n">
        <v>60000</v>
      </c>
      <c r="C31" s="10" t="n">
        <f aca="false">C30+B31</f>
        <v>366200</v>
      </c>
      <c r="D31" s="10" t="n">
        <f aca="false">C31/5</f>
        <v>73240</v>
      </c>
    </row>
    <row r="32" customFormat="false" ht="15" hidden="false" customHeight="false" outlineLevel="0" collapsed="false">
      <c r="A32" s="8" t="s">
        <v>192</v>
      </c>
      <c r="B32" s="26" t="n">
        <v>35400</v>
      </c>
      <c r="C32" s="10" t="n">
        <f aca="false">C31+B32</f>
        <v>401600</v>
      </c>
      <c r="D32" s="10" t="n">
        <f aca="false">C32/6</f>
        <v>66933.3333333333</v>
      </c>
    </row>
    <row r="33" customFormat="false" ht="15" hidden="false" customHeight="false" outlineLevel="0" collapsed="false">
      <c r="A33" s="8" t="s">
        <v>193</v>
      </c>
      <c r="B33" s="26" t="n">
        <v>35400</v>
      </c>
      <c r="C33" s="10" t="n">
        <f aca="false">C32+B33</f>
        <v>437000</v>
      </c>
      <c r="D33" s="10" t="n">
        <f aca="false">C33/7</f>
        <v>62428.5714285714</v>
      </c>
    </row>
    <row r="34" customFormat="false" ht="15" hidden="false" customHeight="false" outlineLevel="0" collapsed="false">
      <c r="A34" s="8" t="s">
        <v>194</v>
      </c>
      <c r="B34" s="26" t="n">
        <v>35400</v>
      </c>
      <c r="C34" s="10" t="n">
        <f aca="false">C33+B34</f>
        <v>472400</v>
      </c>
      <c r="D34" s="10" t="n">
        <f aca="false">C34/8</f>
        <v>59050</v>
      </c>
    </row>
    <row r="35" customFormat="false" ht="15" hidden="false" customHeight="false" outlineLevel="0" collapsed="false">
      <c r="A35" s="8" t="s">
        <v>195</v>
      </c>
      <c r="B35" s="26" t="n">
        <v>35400</v>
      </c>
      <c r="C35" s="10" t="n">
        <f aca="false">C34+B35</f>
        <v>507800</v>
      </c>
      <c r="D35" s="10" t="n">
        <f aca="false">C35/9</f>
        <v>56422.2222222222</v>
      </c>
    </row>
    <row r="36" customFormat="false" ht="15" hidden="false" customHeight="false" outlineLevel="0" collapsed="false">
      <c r="A36" s="8" t="s">
        <v>196</v>
      </c>
      <c r="B36" s="26" t="n">
        <v>35400</v>
      </c>
      <c r="C36" s="10" t="n">
        <f aca="false">C35+B36</f>
        <v>543200</v>
      </c>
      <c r="D36" s="10" t="n">
        <f aca="false">C36/10</f>
        <v>54320</v>
      </c>
    </row>
    <row r="38" customFormat="false" ht="15" hidden="false" customHeight="false" outlineLevel="0" collapsed="false">
      <c r="A38" s="27" t="s">
        <v>197</v>
      </c>
      <c r="B38" s="27"/>
      <c r="C38" s="27"/>
      <c r="D38" s="27"/>
    </row>
    <row r="39" customFormat="false" ht="15" hidden="false" customHeight="false" outlineLevel="0" collapsed="false">
      <c r="A39" s="27" t="s">
        <v>198</v>
      </c>
      <c r="B39" s="27"/>
      <c r="C39" s="27"/>
      <c r="D39" s="27"/>
    </row>
  </sheetData>
  <mergeCells count="3">
    <mergeCell ref="A1:D1"/>
    <mergeCell ref="A38:D38"/>
    <mergeCell ref="A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2026-03-04T01:06:32Z</dcterms:created>
  <dc:creator>openpyxl</dc:creator>
  <dc:description/>
  <dc:language>en-US</dc:language>
  <cp:lastModifiedBy/>
  <dcterms:modified xsi:type="dcterms:W3CDTF">2026-03-04T01:06:32Z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